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8" windowWidth="14808" windowHeight="8016" activeTab="3"/>
  </bookViews>
  <sheets>
    <sheet name="Sheet1" sheetId="1" r:id="rId1"/>
    <sheet name="Sheet2" sheetId="2" r:id="rId2"/>
    <sheet name="Sheet3" sheetId="3" r:id="rId3"/>
    <sheet name="Sheet4" sheetId="4" r:id="rId4"/>
  </sheets>
  <calcPr calcId="124519"/>
</workbook>
</file>

<file path=xl/calcChain.xml><?xml version="1.0" encoding="utf-8"?>
<calcChain xmlns="http://schemas.openxmlformats.org/spreadsheetml/2006/main">
  <c r="I5" i="4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4"/>
  <c r="L7" i="3"/>
  <c r="N7" s="1"/>
  <c r="L8"/>
  <c r="N8" s="1"/>
  <c r="L9"/>
  <c r="N9" s="1"/>
  <c r="L10"/>
  <c r="N10" s="1"/>
  <c r="L11"/>
  <c r="N11" s="1"/>
  <c r="L12"/>
  <c r="N12" s="1"/>
  <c r="L13"/>
  <c r="N13" s="1"/>
  <c r="L14"/>
  <c r="N14" s="1"/>
  <c r="L15"/>
  <c r="N15" s="1"/>
  <c r="L16"/>
  <c r="N16" s="1"/>
  <c r="L17"/>
  <c r="N17" s="1"/>
  <c r="L18"/>
  <c r="N18" s="1"/>
  <c r="L19"/>
  <c r="N19" s="1"/>
  <c r="L20"/>
  <c r="N20" s="1"/>
  <c r="L21"/>
  <c r="N21" s="1"/>
  <c r="L22"/>
  <c r="N22" s="1"/>
  <c r="L23"/>
  <c r="N23" s="1"/>
  <c r="L24"/>
  <c r="N24" s="1"/>
  <c r="L25"/>
  <c r="N25" s="1"/>
  <c r="L26"/>
  <c r="N26" s="1"/>
  <c r="L27"/>
  <c r="N27" s="1"/>
  <c r="L28"/>
  <c r="N28" s="1"/>
  <c r="L29"/>
  <c r="N29" s="1"/>
  <c r="L30"/>
  <c r="N30" s="1"/>
  <c r="L31"/>
  <c r="N31" s="1"/>
  <c r="L32"/>
  <c r="N32" s="1"/>
  <c r="L33"/>
  <c r="N33" s="1"/>
  <c r="L34"/>
  <c r="N34" s="1"/>
  <c r="L35"/>
  <c r="N35" s="1"/>
  <c r="L36"/>
  <c r="L37"/>
  <c r="L38"/>
  <c r="L6"/>
  <c r="N6" s="1"/>
  <c r="F55" i="1"/>
</calcChain>
</file>

<file path=xl/sharedStrings.xml><?xml version="1.0" encoding="utf-8"?>
<sst xmlns="http://schemas.openxmlformats.org/spreadsheetml/2006/main" count="376" uniqueCount="176">
  <si>
    <t>List to display all lender</t>
  </si>
  <si>
    <t>Edit Each lender</t>
  </si>
  <si>
    <t>Delete each lender</t>
  </si>
  <si>
    <t>Add new lender</t>
  </si>
  <si>
    <t>List to display all Credit checker</t>
  </si>
  <si>
    <t>Edit Each  Credit checker</t>
  </si>
  <si>
    <t>Delete each  Credit checker</t>
  </si>
  <si>
    <t>Add new  Credit checker</t>
  </si>
  <si>
    <t>List to display all   Sales Eecutive</t>
  </si>
  <si>
    <t>Edit Each    Sales Eecutive</t>
  </si>
  <si>
    <t>Delete each    Sales Eecutive</t>
  </si>
  <si>
    <t>Add new    Sales Eecutive</t>
  </si>
  <si>
    <t>Module</t>
  </si>
  <si>
    <t>Task</t>
  </si>
  <si>
    <t>Price</t>
  </si>
  <si>
    <t>Completion Phase</t>
  </si>
  <si>
    <t>Phase 1</t>
  </si>
  <si>
    <t>Phase 2</t>
  </si>
  <si>
    <t>Borrower Additional Info/Action Required.</t>
  </si>
  <si>
    <t>Action Required List/Additional info lists.</t>
  </si>
  <si>
    <t>Phase 3</t>
  </si>
  <si>
    <t>Additional info Response page + Addition document upload specific to lender.</t>
  </si>
  <si>
    <t>Borrower Loan Request</t>
  </si>
  <si>
    <t>Loan request List</t>
  </si>
  <si>
    <t>Create loan Request form</t>
  </si>
  <si>
    <t>Edit Loan requet form</t>
  </si>
  <si>
    <t>View Loan Request (Loan details + Additional info + document download link)</t>
  </si>
  <si>
    <t xml:space="preserve">Document Upload </t>
  </si>
  <si>
    <t xml:space="preserve">Borrower Document </t>
  </si>
  <si>
    <t>View Document</t>
  </si>
  <si>
    <t>Delete document</t>
  </si>
  <si>
    <t>Phase 4</t>
  </si>
  <si>
    <t>System Admin Sales Executive Mapping</t>
  </si>
  <si>
    <t>List of Loan Request to Sales executive mapping. With feature to list unmapped loan request.</t>
  </si>
  <si>
    <t>Map Sales executive to Loan request.</t>
  </si>
  <si>
    <t>System Admin Credit checker Mapping</t>
  </si>
  <si>
    <t>List of Loan Request to Credit checker mapping. With feature to list unmapped loan request.</t>
  </si>
  <si>
    <t>Map Credit checker to Loan request.</t>
  </si>
  <si>
    <t>Sales executive background check</t>
  </si>
  <si>
    <t>List of Loan reuest mapped to sales executive that are pendign for background check.</t>
  </si>
  <si>
    <t>Approve/Reject Loan request</t>
  </si>
  <si>
    <t>Generete Mandate letter and mail to borrower.</t>
  </si>
  <si>
    <t>Actor</t>
  </si>
  <si>
    <t>Sys Admin</t>
  </si>
  <si>
    <t>Borrower</t>
  </si>
  <si>
    <t>Sales Exe.</t>
  </si>
  <si>
    <t>Credit checker</t>
  </si>
  <si>
    <t>Credit checker Approve Reject</t>
  </si>
  <si>
    <t>List of Loan reuest mapped to Credit checker that are pendign for Credit check.</t>
  </si>
  <si>
    <t>Reject Credit check</t>
  </si>
  <si>
    <t>Generate executive summary report.</t>
  </si>
  <si>
    <t>Edit Executive summary report.</t>
  </si>
  <si>
    <t>Credit checker Request additional info</t>
  </si>
  <si>
    <t>Lender</t>
  </si>
  <si>
    <t>Cost to Add in System Admin role</t>
  </si>
  <si>
    <t>Lender Action</t>
  </si>
  <si>
    <t>List of Loan requet where loan request amont Lender Minimum ticket size &lt; borrower requested amount &lt; Lender Maximum ticket size. And pending for Lender action</t>
  </si>
  <si>
    <t>Lender approves/Rejects</t>
  </si>
  <si>
    <t>Lender ask for additional info</t>
  </si>
  <si>
    <t>Lender view Loan request -- Covered in borrowe view.</t>
  </si>
  <si>
    <t>Role wise Access</t>
  </si>
  <si>
    <t>Change Password, Forgot password, Login</t>
  </si>
  <si>
    <t>Sales executive creation</t>
  </si>
  <si>
    <t>Role wise access to each page</t>
  </si>
  <si>
    <t>Login page, change password, Forgot password</t>
  </si>
  <si>
    <t>Lender Creation</t>
  </si>
  <si>
    <t>Credit checker Creation</t>
  </si>
  <si>
    <t>Sales Eecutive Creation</t>
  </si>
  <si>
    <t>Lender Loan request approval additional info request, view loan request, reject loan request.</t>
  </si>
  <si>
    <t>Development phase</t>
  </si>
  <si>
    <t>Phase 5</t>
  </si>
  <si>
    <t>Delivery data</t>
  </si>
  <si>
    <t>Credit checker creation Create, edit, Delete, View, List of Credit checkers with paging, sorting and search by name.</t>
  </si>
  <si>
    <t>Borrower Loan request, Loan request form, Send to appropriate sales executive, delete loan request, Edit loan request, document upload and edit</t>
  </si>
  <si>
    <t>Borrower additional information response request pages</t>
  </si>
  <si>
    <t>Sales executive background check, mandate letter, forward to credit checker</t>
  </si>
  <si>
    <t>Credit checker loan approval, rejection, additional request, forward to lender, Executive summary report generation and edit.</t>
  </si>
  <si>
    <t>Replicate all the functionality to system admin</t>
  </si>
  <si>
    <t>Delivery date of phases</t>
  </si>
  <si>
    <t>Phase 3 and Phase 4</t>
  </si>
  <si>
    <t>Cost in Rs</t>
  </si>
  <si>
    <t>Brief summary of Work</t>
  </si>
  <si>
    <t>Lender creation Create, edit, Delete, View, List of Lenders  with paging, sorting and serch by name.</t>
  </si>
  <si>
    <t>public</t>
  </si>
  <si>
    <t>long</t>
  </si>
  <si>
    <t>string</t>
  </si>
  <si>
    <t>Nullable&lt;bool&gt;</t>
  </si>
  <si>
    <t>Nullable&lt;decimal&gt;</t>
  </si>
  <si>
    <t>Nullable&lt;int&gt;</t>
  </si>
  <si>
    <t>Nullable&lt;System.DateTime&gt;</t>
  </si>
  <si>
    <t>Id</t>
  </si>
  <si>
    <t>FounderName</t>
  </si>
  <si>
    <t>ComapyAge</t>
  </si>
  <si>
    <t>CompanyBussiness</t>
  </si>
  <si>
    <t>FundingNeeded</t>
  </si>
  <si>
    <t>FundingFor</t>
  </si>
  <si>
    <t>FundingReqTill</t>
  </si>
  <si>
    <t>CompanyRevenue</t>
  </si>
  <si>
    <t>AreYouProfitable</t>
  </si>
  <si>
    <t>ExpectedBreakEven</t>
  </si>
  <si>
    <t>FundedHow</t>
  </si>
  <si>
    <t>NoOfFundingRound</t>
  </si>
  <si>
    <t>ExternalInvestors</t>
  </si>
  <si>
    <t>LastFundingDate</t>
  </si>
  <si>
    <t>LastFundingAmount</t>
  </si>
  <si>
    <t>companyLoan</t>
  </si>
  <si>
    <t>LoanLenders</t>
  </si>
  <si>
    <t>OutstandingLoanAmount</t>
  </si>
  <si>
    <t>LoanSecurity</t>
  </si>
  <si>
    <t>wasLoanDelayed</t>
  </si>
  <si>
    <t>OverdueStatutoryComments</t>
  </si>
  <si>
    <t>AvailableSecurity</t>
  </si>
  <si>
    <t>OtherMeetingNote</t>
  </si>
  <si>
    <t>BorrowerId</t>
  </si>
  <si>
    <t>SalesRepId</t>
  </si>
  <si>
    <t>CreditCheckerId</t>
  </si>
  <si>
    <t>RequestStatus</t>
  </si>
  <si>
    <t>bool</t>
  </si>
  <si>
    <t>isActive</t>
  </si>
  <si>
    <t>System.DateTime</t>
  </si>
  <si>
    <t>CreatedDt</t>
  </si>
  <si>
    <t>UpdateDt</t>
  </si>
  <si>
    <t>Founder</t>
  </si>
  <si>
    <t>Name</t>
  </si>
  <si>
    <t>Comapy</t>
  </si>
  <si>
    <t>Age</t>
  </si>
  <si>
    <t>Company</t>
  </si>
  <si>
    <t>Bussiness</t>
  </si>
  <si>
    <t>Funding</t>
  </si>
  <si>
    <t>Needed</t>
  </si>
  <si>
    <t>For</t>
  </si>
  <si>
    <t>Req</t>
  </si>
  <si>
    <t>Till</t>
  </si>
  <si>
    <t>Revenue</t>
  </si>
  <si>
    <t>Are</t>
  </si>
  <si>
    <t>You</t>
  </si>
  <si>
    <t>Profitable</t>
  </si>
  <si>
    <t>Expected</t>
  </si>
  <si>
    <t>Break</t>
  </si>
  <si>
    <t>Even</t>
  </si>
  <si>
    <t>Funded</t>
  </si>
  <si>
    <t>How</t>
  </si>
  <si>
    <t>No</t>
  </si>
  <si>
    <t>OfFunding</t>
  </si>
  <si>
    <t>Round</t>
  </si>
  <si>
    <t>External</t>
  </si>
  <si>
    <t>Investors</t>
  </si>
  <si>
    <t>Last</t>
  </si>
  <si>
    <t>Date</t>
  </si>
  <si>
    <t>Amount</t>
  </si>
  <si>
    <t>company</t>
  </si>
  <si>
    <t>Loan</t>
  </si>
  <si>
    <t>Lenders</t>
  </si>
  <si>
    <t>Outstanding</t>
  </si>
  <si>
    <t>Security</t>
  </si>
  <si>
    <t>was</t>
  </si>
  <si>
    <t>Delayed</t>
  </si>
  <si>
    <t>Overdue</t>
  </si>
  <si>
    <t>Statutory</t>
  </si>
  <si>
    <t>Comments</t>
  </si>
  <si>
    <t>Available</t>
  </si>
  <si>
    <t>Other</t>
  </si>
  <si>
    <t>Meeting</t>
  </si>
  <si>
    <t>Note</t>
  </si>
  <si>
    <t>Sales</t>
  </si>
  <si>
    <t>Rep</t>
  </si>
  <si>
    <t>Credit</t>
  </si>
  <si>
    <t>Checker</t>
  </si>
  <si>
    <t>Request</t>
  </si>
  <si>
    <t>Status</t>
  </si>
  <si>
    <t>is</t>
  </si>
  <si>
    <t>Active</t>
  </si>
  <si>
    <t>Created</t>
  </si>
  <si>
    <t>Dt</t>
  </si>
  <si>
    <t>Update</t>
  </si>
  <si>
    <t>LR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</si>
</sst>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2:Q55"/>
  <sheetViews>
    <sheetView workbookViewId="0">
      <selection activeCell="G3" sqref="G3:G41"/>
    </sheetView>
  </sheetViews>
  <sheetFormatPr defaultRowHeight="14.4"/>
  <cols>
    <col min="3" max="3" width="14.44140625" customWidth="1"/>
    <col min="4" max="4" width="36.5546875" customWidth="1"/>
    <col min="5" max="5" width="35.5546875" customWidth="1"/>
    <col min="6" max="6" width="13.109375" customWidth="1"/>
    <col min="7" max="7" width="19" customWidth="1"/>
    <col min="8" max="8" width="20.44140625" customWidth="1"/>
  </cols>
  <sheetData>
    <row r="2" spans="3:17" ht="28.8">
      <c r="C2" t="s">
        <v>42</v>
      </c>
      <c r="D2" t="s">
        <v>12</v>
      </c>
      <c r="E2" t="s">
        <v>13</v>
      </c>
      <c r="F2" t="s">
        <v>14</v>
      </c>
      <c r="G2" s="1" t="s">
        <v>54</v>
      </c>
      <c r="H2" t="s">
        <v>15</v>
      </c>
    </row>
    <row r="3" spans="3:17" ht="24.9" customHeight="1">
      <c r="C3" t="s">
        <v>43</v>
      </c>
      <c r="D3" s="1" t="s">
        <v>65</v>
      </c>
      <c r="E3" s="1" t="s">
        <v>0</v>
      </c>
      <c r="F3" s="1">
        <v>1500</v>
      </c>
      <c r="G3" s="1"/>
      <c r="H3" s="1" t="s">
        <v>16</v>
      </c>
      <c r="I3" s="1"/>
      <c r="J3" s="1"/>
      <c r="K3" s="1"/>
      <c r="L3" s="1"/>
      <c r="M3" s="1"/>
      <c r="N3" s="1"/>
      <c r="O3" s="1"/>
      <c r="P3" s="1"/>
      <c r="Q3" s="1"/>
    </row>
    <row r="4" spans="3:17" ht="24.9" customHeight="1">
      <c r="C4" t="s">
        <v>43</v>
      </c>
      <c r="D4" s="1"/>
      <c r="E4" s="1" t="s">
        <v>1</v>
      </c>
      <c r="F4" s="1">
        <v>1500</v>
      </c>
      <c r="G4" s="1"/>
      <c r="H4" s="1" t="s">
        <v>16</v>
      </c>
      <c r="I4" s="1"/>
      <c r="J4" s="1"/>
      <c r="K4" s="1"/>
      <c r="L4" s="1"/>
      <c r="M4" s="1"/>
      <c r="N4" s="1"/>
      <c r="O4" s="1"/>
      <c r="P4" s="1"/>
      <c r="Q4" s="1"/>
    </row>
    <row r="5" spans="3:17" ht="24.9" customHeight="1">
      <c r="C5" t="s">
        <v>43</v>
      </c>
      <c r="D5" s="1"/>
      <c r="E5" s="1" t="s">
        <v>2</v>
      </c>
      <c r="F5" s="1">
        <v>1500</v>
      </c>
      <c r="G5" s="1"/>
      <c r="H5" s="1" t="s">
        <v>16</v>
      </c>
      <c r="I5" s="1"/>
      <c r="J5" s="1"/>
      <c r="K5" s="1"/>
      <c r="L5" s="1"/>
      <c r="M5" s="1"/>
      <c r="N5" s="1"/>
      <c r="O5" s="1"/>
      <c r="P5" s="1"/>
      <c r="Q5" s="1"/>
    </row>
    <row r="6" spans="3:17" ht="24.9" customHeight="1">
      <c r="C6" t="s">
        <v>43</v>
      </c>
      <c r="D6" s="1"/>
      <c r="E6" s="1" t="s">
        <v>3</v>
      </c>
      <c r="F6" s="1">
        <v>1500</v>
      </c>
      <c r="G6" s="1"/>
      <c r="H6" s="1" t="s">
        <v>16</v>
      </c>
      <c r="I6" s="1"/>
      <c r="J6" s="1"/>
      <c r="K6" s="1"/>
      <c r="L6" s="1"/>
      <c r="M6" s="1"/>
      <c r="N6" s="1"/>
      <c r="O6" s="1"/>
      <c r="P6" s="1"/>
      <c r="Q6" s="1"/>
    </row>
    <row r="7" spans="3:17" ht="24.9" customHeight="1">
      <c r="C7" t="s">
        <v>43</v>
      </c>
      <c r="D7" s="1" t="s">
        <v>66</v>
      </c>
      <c r="E7" s="1" t="s">
        <v>4</v>
      </c>
      <c r="F7" s="1">
        <v>1500</v>
      </c>
      <c r="G7" s="1"/>
      <c r="H7" s="1" t="s">
        <v>16</v>
      </c>
      <c r="I7" s="1"/>
      <c r="J7" s="1"/>
      <c r="K7" s="1"/>
      <c r="L7" s="1"/>
      <c r="M7" s="1"/>
      <c r="N7" s="1"/>
      <c r="O7" s="1"/>
      <c r="P7" s="1"/>
      <c r="Q7" s="1"/>
    </row>
    <row r="8" spans="3:17" ht="24.9" customHeight="1">
      <c r="C8" t="s">
        <v>43</v>
      </c>
      <c r="D8" s="1"/>
      <c r="E8" s="1" t="s">
        <v>5</v>
      </c>
      <c r="F8" s="1">
        <v>1500</v>
      </c>
      <c r="G8" s="1"/>
      <c r="H8" s="1" t="s">
        <v>16</v>
      </c>
      <c r="I8" s="1"/>
      <c r="J8" s="1"/>
      <c r="K8" s="1"/>
      <c r="L8" s="1"/>
      <c r="M8" s="1"/>
      <c r="N8" s="1"/>
      <c r="O8" s="1"/>
      <c r="P8" s="1"/>
      <c r="Q8" s="1"/>
    </row>
    <row r="9" spans="3:17" ht="24.9" customHeight="1">
      <c r="C9" t="s">
        <v>43</v>
      </c>
      <c r="D9" s="1"/>
      <c r="E9" s="1" t="s">
        <v>6</v>
      </c>
      <c r="F9" s="1">
        <v>1500</v>
      </c>
      <c r="G9" s="1"/>
      <c r="H9" s="1" t="s">
        <v>16</v>
      </c>
      <c r="I9" s="1"/>
      <c r="J9" s="1"/>
      <c r="K9" s="1"/>
      <c r="L9" s="1"/>
      <c r="M9" s="1"/>
      <c r="N9" s="1"/>
      <c r="O9" s="1"/>
      <c r="P9" s="1"/>
      <c r="Q9" s="1"/>
    </row>
    <row r="10" spans="3:17" ht="24.9" customHeight="1">
      <c r="C10" t="s">
        <v>43</v>
      </c>
      <c r="D10" s="1"/>
      <c r="E10" s="1" t="s">
        <v>7</v>
      </c>
      <c r="F10" s="1">
        <v>1500</v>
      </c>
      <c r="G10" s="1"/>
      <c r="H10" s="1" t="s">
        <v>16</v>
      </c>
      <c r="I10" s="1"/>
      <c r="J10" s="1"/>
      <c r="K10" s="1"/>
      <c r="L10" s="1"/>
      <c r="M10" s="1"/>
      <c r="N10" s="1"/>
      <c r="O10" s="1"/>
      <c r="P10" s="1"/>
      <c r="Q10" s="1"/>
    </row>
    <row r="11" spans="3:17" ht="24.9" customHeight="1">
      <c r="C11" t="s">
        <v>43</v>
      </c>
      <c r="D11" s="1" t="s">
        <v>67</v>
      </c>
      <c r="E11" s="1" t="s">
        <v>8</v>
      </c>
      <c r="F11" s="1">
        <v>1500</v>
      </c>
      <c r="G11" s="1"/>
      <c r="H11" s="1" t="s">
        <v>16</v>
      </c>
      <c r="I11" s="1"/>
      <c r="J11" s="1"/>
      <c r="K11" s="1"/>
      <c r="L11" s="1"/>
      <c r="M11" s="1"/>
      <c r="N11" s="1"/>
      <c r="O11" s="1"/>
      <c r="P11" s="1"/>
      <c r="Q11" s="1"/>
    </row>
    <row r="12" spans="3:17" ht="24.9" customHeight="1">
      <c r="C12" t="s">
        <v>43</v>
      </c>
      <c r="D12" s="1"/>
      <c r="E12" s="1" t="s">
        <v>9</v>
      </c>
      <c r="F12" s="1">
        <v>1500</v>
      </c>
      <c r="G12" s="1"/>
      <c r="H12" s="1" t="s">
        <v>16</v>
      </c>
      <c r="I12" s="1"/>
      <c r="J12" s="1"/>
      <c r="K12" s="1"/>
      <c r="L12" s="1"/>
      <c r="M12" s="1"/>
      <c r="N12" s="1"/>
      <c r="O12" s="1"/>
      <c r="P12" s="1"/>
      <c r="Q12" s="1"/>
    </row>
    <row r="13" spans="3:17" ht="24.9" customHeight="1">
      <c r="C13" t="s">
        <v>43</v>
      </c>
      <c r="D13" s="1"/>
      <c r="E13" s="1" t="s">
        <v>10</v>
      </c>
      <c r="F13" s="1">
        <v>1500</v>
      </c>
      <c r="G13" s="1"/>
      <c r="H13" s="1" t="s">
        <v>16</v>
      </c>
      <c r="I13" s="1"/>
      <c r="J13" s="1"/>
      <c r="K13" s="1"/>
      <c r="L13" s="1"/>
      <c r="M13" s="1"/>
      <c r="N13" s="1"/>
      <c r="O13" s="1"/>
      <c r="P13" s="1"/>
      <c r="Q13" s="1"/>
    </row>
    <row r="14" spans="3:17" ht="24.9" customHeight="1">
      <c r="C14" t="s">
        <v>43</v>
      </c>
      <c r="D14" s="1"/>
      <c r="E14" s="1" t="s">
        <v>11</v>
      </c>
      <c r="F14" s="1">
        <v>1500</v>
      </c>
      <c r="G14" s="1"/>
      <c r="H14" s="1" t="s">
        <v>16</v>
      </c>
      <c r="I14" s="1"/>
      <c r="J14" s="1"/>
      <c r="K14" s="1"/>
      <c r="L14" s="1"/>
      <c r="M14" s="1"/>
      <c r="N14" s="1"/>
      <c r="O14" s="1"/>
      <c r="P14" s="1"/>
      <c r="Q14" s="1"/>
    </row>
    <row r="15" spans="3:17" ht="39.75" customHeight="1">
      <c r="C15" t="s">
        <v>44</v>
      </c>
      <c r="D15" s="1" t="s">
        <v>18</v>
      </c>
      <c r="E15" s="1" t="s">
        <v>19</v>
      </c>
      <c r="F15" s="1">
        <v>1500</v>
      </c>
      <c r="G15" s="1">
        <v>500</v>
      </c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3:17" ht="52.5" customHeight="1">
      <c r="C16" t="s">
        <v>44</v>
      </c>
      <c r="D16" s="1" t="s">
        <v>18</v>
      </c>
      <c r="E16" s="1" t="s">
        <v>21</v>
      </c>
      <c r="F16" s="1">
        <v>3000</v>
      </c>
      <c r="G16" s="1">
        <v>1000</v>
      </c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3:17" ht="24.9" customHeight="1">
      <c r="C17" t="s">
        <v>44</v>
      </c>
      <c r="D17" s="1" t="s">
        <v>22</v>
      </c>
      <c r="E17" s="1" t="s">
        <v>23</v>
      </c>
      <c r="F17" s="1">
        <v>1500</v>
      </c>
      <c r="G17" s="1">
        <v>1000</v>
      </c>
      <c r="H17" s="1" t="s">
        <v>17</v>
      </c>
      <c r="I17" s="1"/>
      <c r="J17" s="1"/>
      <c r="K17" s="1"/>
      <c r="L17" s="1"/>
      <c r="M17" s="1"/>
      <c r="N17" s="1"/>
      <c r="O17" s="1"/>
      <c r="P17" s="1"/>
      <c r="Q17" s="1"/>
    </row>
    <row r="18" spans="3:17" ht="24.9" customHeight="1">
      <c r="C18" t="s">
        <v>44</v>
      </c>
      <c r="D18" s="1" t="s">
        <v>22</v>
      </c>
      <c r="E18" s="1" t="s">
        <v>24</v>
      </c>
      <c r="F18" s="1">
        <v>2500</v>
      </c>
      <c r="G18" s="1">
        <v>1000</v>
      </c>
      <c r="H18" s="1" t="s">
        <v>17</v>
      </c>
      <c r="I18" s="1"/>
      <c r="J18" s="1"/>
      <c r="K18" s="1"/>
      <c r="L18" s="1"/>
      <c r="M18" s="1"/>
      <c r="N18" s="1"/>
      <c r="O18" s="1"/>
      <c r="P18" s="1"/>
      <c r="Q18" s="1"/>
    </row>
    <row r="19" spans="3:17" ht="24.9" customHeight="1">
      <c r="C19" t="s">
        <v>44</v>
      </c>
      <c r="D19" s="1" t="s">
        <v>22</v>
      </c>
      <c r="E19" s="1" t="s">
        <v>25</v>
      </c>
      <c r="F19" s="1">
        <v>2500</v>
      </c>
      <c r="G19" s="1">
        <v>1000</v>
      </c>
      <c r="H19" s="1" t="s">
        <v>17</v>
      </c>
      <c r="I19" s="1"/>
      <c r="J19" s="1"/>
      <c r="K19" s="1"/>
      <c r="L19" s="1"/>
      <c r="M19" s="1"/>
      <c r="N19" s="1"/>
      <c r="O19" s="1"/>
      <c r="P19" s="1"/>
      <c r="Q19" s="1"/>
    </row>
    <row r="20" spans="3:17" ht="30" customHeight="1">
      <c r="C20" t="s">
        <v>44</v>
      </c>
      <c r="D20" s="1" t="s">
        <v>22</v>
      </c>
      <c r="E20" s="1" t="s">
        <v>26</v>
      </c>
      <c r="F20" s="1">
        <v>3000</v>
      </c>
      <c r="G20" s="1">
        <v>1000</v>
      </c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3:17" ht="51" customHeight="1">
      <c r="C21" t="s">
        <v>43</v>
      </c>
      <c r="D21" s="1" t="s">
        <v>32</v>
      </c>
      <c r="E21" s="1" t="s">
        <v>33</v>
      </c>
      <c r="F21" s="1">
        <v>2500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3:17">
      <c r="C22" t="s">
        <v>43</v>
      </c>
      <c r="D22" s="1" t="s">
        <v>32</v>
      </c>
      <c r="E22" s="1" t="s">
        <v>34</v>
      </c>
      <c r="F22" s="1">
        <v>1500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3:17" ht="43.2">
      <c r="C23" t="s">
        <v>43</v>
      </c>
      <c r="D23" s="1" t="s">
        <v>35</v>
      </c>
      <c r="E23" s="1" t="s">
        <v>36</v>
      </c>
      <c r="F23" s="1">
        <v>2500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3:17">
      <c r="C24" t="s">
        <v>43</v>
      </c>
      <c r="D24" s="1" t="s">
        <v>35</v>
      </c>
      <c r="E24" s="1" t="s">
        <v>37</v>
      </c>
      <c r="F24" s="1">
        <v>1500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3:17" ht="43.2">
      <c r="C25" t="s">
        <v>45</v>
      </c>
      <c r="D25" s="1" t="s">
        <v>38</v>
      </c>
      <c r="E25" s="1" t="s">
        <v>39</v>
      </c>
      <c r="F25" s="1">
        <v>2500</v>
      </c>
      <c r="G25" s="1">
        <v>1000</v>
      </c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3:17">
      <c r="C26" t="s">
        <v>45</v>
      </c>
      <c r="D26" s="1" t="s">
        <v>38</v>
      </c>
      <c r="E26" s="1" t="s">
        <v>40</v>
      </c>
      <c r="F26" s="1">
        <v>1500</v>
      </c>
      <c r="G26" s="1">
        <v>1000</v>
      </c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3:17" ht="28.8">
      <c r="C27" t="s">
        <v>45</v>
      </c>
      <c r="D27" s="1" t="s">
        <v>38</v>
      </c>
      <c r="E27" s="1" t="s">
        <v>41</v>
      </c>
      <c r="F27" s="1">
        <v>3000</v>
      </c>
      <c r="G27" s="1">
        <v>1000</v>
      </c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3:17">
      <c r="C28" t="s">
        <v>44</v>
      </c>
      <c r="D28" s="1" t="s">
        <v>28</v>
      </c>
      <c r="E28" s="1" t="s">
        <v>27</v>
      </c>
      <c r="F28" s="1">
        <v>1500</v>
      </c>
      <c r="G28" s="1">
        <v>1000</v>
      </c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3:17">
      <c r="C29" t="s">
        <v>44</v>
      </c>
      <c r="D29" s="1" t="s">
        <v>28</v>
      </c>
      <c r="E29" s="1" t="s">
        <v>29</v>
      </c>
      <c r="F29" s="1">
        <v>1500</v>
      </c>
      <c r="G29" s="1">
        <v>500</v>
      </c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3:17">
      <c r="C30" t="s">
        <v>44</v>
      </c>
      <c r="D30" s="1" t="s">
        <v>28</v>
      </c>
      <c r="E30" s="1" t="s">
        <v>30</v>
      </c>
      <c r="F30" s="1">
        <v>1500</v>
      </c>
      <c r="G30" s="1">
        <v>1000</v>
      </c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3:17" ht="28.8">
      <c r="C31" t="s">
        <v>46</v>
      </c>
      <c r="D31" s="1" t="s">
        <v>47</v>
      </c>
      <c r="E31" s="1" t="s">
        <v>48</v>
      </c>
      <c r="F31" s="1">
        <v>2500</v>
      </c>
      <c r="G31" s="1">
        <v>1000</v>
      </c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3:17">
      <c r="C32" t="s">
        <v>46</v>
      </c>
      <c r="D32" s="1" t="s">
        <v>47</v>
      </c>
      <c r="E32" s="1" t="s">
        <v>49</v>
      </c>
      <c r="F32" s="1">
        <v>1500</v>
      </c>
      <c r="G32" s="1">
        <v>1000</v>
      </c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3:17">
      <c r="C33" t="s">
        <v>46</v>
      </c>
      <c r="D33" s="1" t="s">
        <v>47</v>
      </c>
      <c r="E33" s="1" t="s">
        <v>50</v>
      </c>
      <c r="F33" s="1">
        <v>2500</v>
      </c>
      <c r="G33" s="1">
        <v>1000</v>
      </c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3:17">
      <c r="C34" t="s">
        <v>46</v>
      </c>
      <c r="D34" s="1" t="s">
        <v>47</v>
      </c>
      <c r="E34" s="1" t="s">
        <v>51</v>
      </c>
      <c r="F34" s="1">
        <v>2500</v>
      </c>
      <c r="G34" s="1">
        <v>1000</v>
      </c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3:17">
      <c r="C35" t="s">
        <v>46</v>
      </c>
      <c r="D35" s="1" t="s">
        <v>47</v>
      </c>
      <c r="E35" s="1" t="s">
        <v>52</v>
      </c>
      <c r="F35" s="1">
        <v>1500</v>
      </c>
      <c r="G35" s="1">
        <v>1000</v>
      </c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3:17" ht="72">
      <c r="C36" t="s">
        <v>53</v>
      </c>
      <c r="D36" s="1" t="s">
        <v>55</v>
      </c>
      <c r="E36" s="1" t="s">
        <v>56</v>
      </c>
      <c r="F36" s="1">
        <v>3000</v>
      </c>
      <c r="G36" s="1">
        <v>1000</v>
      </c>
    </row>
    <row r="37" spans="3:17">
      <c r="C37" t="s">
        <v>53</v>
      </c>
      <c r="D37" s="1" t="s">
        <v>55</v>
      </c>
      <c r="E37" s="1" t="s">
        <v>57</v>
      </c>
      <c r="F37" s="1">
        <v>1500</v>
      </c>
      <c r="G37" s="1">
        <v>1000</v>
      </c>
    </row>
    <row r="38" spans="3:17">
      <c r="C38" t="s">
        <v>53</v>
      </c>
      <c r="D38" s="1" t="s">
        <v>55</v>
      </c>
      <c r="E38" s="1" t="s">
        <v>58</v>
      </c>
      <c r="F38" s="1">
        <v>1500</v>
      </c>
      <c r="G38" s="1">
        <v>1000</v>
      </c>
    </row>
    <row r="39" spans="3:17" ht="28.8">
      <c r="C39" t="s">
        <v>53</v>
      </c>
      <c r="D39" s="1" t="s">
        <v>55</v>
      </c>
      <c r="E39" s="1" t="s">
        <v>59</v>
      </c>
      <c r="F39" s="1">
        <v>0</v>
      </c>
    </row>
    <row r="40" spans="3:17">
      <c r="D40" s="1" t="s">
        <v>60</v>
      </c>
      <c r="F40" s="1">
        <v>5000</v>
      </c>
    </row>
    <row r="41" spans="3:17">
      <c r="D41" s="1" t="s">
        <v>61</v>
      </c>
      <c r="F41" s="1">
        <v>3000</v>
      </c>
    </row>
    <row r="54" spans="6:6">
      <c r="F54">
        <v>76000</v>
      </c>
    </row>
    <row r="55" spans="6:6">
      <c r="F55">
        <f>120000-F54</f>
        <v>44000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F5:H23"/>
  <sheetViews>
    <sheetView workbookViewId="0">
      <selection activeCell="F11" sqref="F11"/>
    </sheetView>
  </sheetViews>
  <sheetFormatPr defaultRowHeight="14.4"/>
  <cols>
    <col min="6" max="6" width="50.44140625" customWidth="1"/>
    <col min="7" max="7" width="9.6640625" bestFit="1" customWidth="1"/>
    <col min="8" max="8" width="23.33203125" customWidth="1"/>
  </cols>
  <sheetData>
    <row r="5" spans="6:8">
      <c r="F5" t="s">
        <v>81</v>
      </c>
      <c r="G5" t="s">
        <v>80</v>
      </c>
      <c r="H5" t="s">
        <v>69</v>
      </c>
    </row>
    <row r="6" spans="6:8" ht="28.8">
      <c r="F6" s="1" t="s">
        <v>82</v>
      </c>
      <c r="G6">
        <v>8000</v>
      </c>
      <c r="H6" t="s">
        <v>16</v>
      </c>
    </row>
    <row r="7" spans="6:8" ht="28.8">
      <c r="F7" s="1" t="s">
        <v>72</v>
      </c>
      <c r="G7">
        <v>8000</v>
      </c>
      <c r="H7" t="s">
        <v>16</v>
      </c>
    </row>
    <row r="8" spans="6:8">
      <c r="F8" s="1" t="s">
        <v>62</v>
      </c>
      <c r="G8">
        <v>8000</v>
      </c>
      <c r="H8" t="s">
        <v>16</v>
      </c>
    </row>
    <row r="9" spans="6:8">
      <c r="F9" s="1" t="s">
        <v>63</v>
      </c>
      <c r="G9">
        <v>10000</v>
      </c>
      <c r="H9" t="s">
        <v>31</v>
      </c>
    </row>
    <row r="10" spans="6:8">
      <c r="F10" s="1" t="s">
        <v>64</v>
      </c>
      <c r="G10">
        <v>8000</v>
      </c>
      <c r="H10" t="s">
        <v>31</v>
      </c>
    </row>
    <row r="11" spans="6:8" ht="43.2">
      <c r="F11" s="1" t="s">
        <v>73</v>
      </c>
      <c r="G11">
        <v>20000</v>
      </c>
      <c r="H11" t="s">
        <v>17</v>
      </c>
    </row>
    <row r="12" spans="6:8">
      <c r="F12" s="1" t="s">
        <v>74</v>
      </c>
      <c r="G12">
        <v>15000</v>
      </c>
    </row>
    <row r="13" spans="6:8" ht="28.8">
      <c r="F13" s="1" t="s">
        <v>75</v>
      </c>
      <c r="G13">
        <v>15000</v>
      </c>
      <c r="H13" t="s">
        <v>17</v>
      </c>
    </row>
    <row r="14" spans="6:8" ht="43.2">
      <c r="F14" s="1" t="s">
        <v>76</v>
      </c>
      <c r="G14">
        <v>20000</v>
      </c>
      <c r="H14" t="s">
        <v>20</v>
      </c>
    </row>
    <row r="15" spans="6:8" ht="28.8">
      <c r="F15" s="1" t="s">
        <v>68</v>
      </c>
      <c r="G15">
        <v>15000</v>
      </c>
      <c r="H15" t="s">
        <v>20</v>
      </c>
    </row>
    <row r="16" spans="6:8">
      <c r="F16" s="1" t="s">
        <v>77</v>
      </c>
      <c r="G16">
        <v>25000</v>
      </c>
      <c r="H16" t="s">
        <v>70</v>
      </c>
    </row>
    <row r="19" spans="6:7">
      <c r="F19" s="1" t="s">
        <v>78</v>
      </c>
      <c r="G19" t="s">
        <v>71</v>
      </c>
    </row>
    <row r="20" spans="6:7">
      <c r="F20" s="1" t="s">
        <v>16</v>
      </c>
      <c r="G20" s="2">
        <v>43001</v>
      </c>
    </row>
    <row r="21" spans="6:7">
      <c r="F21" s="1" t="s">
        <v>17</v>
      </c>
      <c r="G21" s="3">
        <v>43010</v>
      </c>
    </row>
    <row r="22" spans="6:7">
      <c r="F22" s="1" t="s">
        <v>79</v>
      </c>
      <c r="G22" s="3">
        <v>43023</v>
      </c>
    </row>
    <row r="23" spans="6:7">
      <c r="F23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D6:N38"/>
  <sheetViews>
    <sheetView topLeftCell="A7" workbookViewId="0">
      <selection activeCell="N28" sqref="N28"/>
    </sheetView>
  </sheetViews>
  <sheetFormatPr defaultRowHeight="14.4"/>
  <sheetData>
    <row r="6" spans="4:14">
      <c r="D6" t="s">
        <v>83</v>
      </c>
      <c r="E6" t="s">
        <v>84</v>
      </c>
      <c r="F6" t="s">
        <v>90</v>
      </c>
      <c r="G6" t="s">
        <v>90</v>
      </c>
      <c r="L6" t="str">
        <f t="shared" ref="L6:L38" si="0">TRIM(CONCATENATE(G6, " ",H6, " ", I6," ",J6," ",K6))</f>
        <v>Id</v>
      </c>
      <c r="N6" t="str">
        <f>CONCATENATE("[Display(Name = """,L6,""")][Required(AllowEmptyStrings = false, ErrorMessage = ""Please enter ",L6,""")][StringLength(150, ErrorMessage = ""The {0} must be at least {2} characters long."", MinimumLength = 3)]")</f>
        <v>[Display(Name = "Id")][Required(AllowEmptyStrings = false, ErrorMessage = "Please enter Id")][StringLength(150, ErrorMessage = "The {0} must be at least {2} characters long.", MinimumLength = 3)]</v>
      </c>
    </row>
    <row r="7" spans="4:14">
      <c r="E7" t="s">
        <v>83</v>
      </c>
      <c r="F7" t="s">
        <v>85</v>
      </c>
      <c r="G7" t="s">
        <v>122</v>
      </c>
      <c r="H7" t="s">
        <v>123</v>
      </c>
      <c r="L7" t="str">
        <f t="shared" si="0"/>
        <v>Founder Name</v>
      </c>
      <c r="N7" t="str">
        <f t="shared" ref="N7:N35" si="1">CONCATENATE("[Display(Name = """,L7,""")][Required(AllowEmptyStrings = false, ErrorMessage = ""Please enter ",L7,""")][StringLength(150, ErrorMessage = ""The {0} must be at least {2} characters long."", MinimumLength = 3)]")</f>
        <v>[Display(Name = "Founder Name")][Required(AllowEmptyStrings = false, ErrorMessage = "Please enter Founder Name")][StringLength(150, ErrorMessage = "The {0} must be at least {2} characters long.", MinimumLength = 3)]</v>
      </c>
    </row>
    <row r="8" spans="4:14">
      <c r="E8" t="s">
        <v>83</v>
      </c>
      <c r="F8" t="s">
        <v>88</v>
      </c>
      <c r="G8" t="s">
        <v>124</v>
      </c>
      <c r="H8" t="s">
        <v>125</v>
      </c>
      <c r="L8" t="str">
        <f t="shared" si="0"/>
        <v>Comapy Age</v>
      </c>
      <c r="N8" t="str">
        <f t="shared" si="1"/>
        <v>[Display(Name = "Comapy Age")][Required(AllowEmptyStrings = false, ErrorMessage = "Please enter Comapy Age")][StringLength(150, ErrorMessage = "The {0} must be at least {2} characters long.", MinimumLength = 3)]</v>
      </c>
    </row>
    <row r="9" spans="4:14">
      <c r="E9" t="s">
        <v>83</v>
      </c>
      <c r="F9" t="s">
        <v>85</v>
      </c>
      <c r="G9" t="s">
        <v>126</v>
      </c>
      <c r="H9" t="s">
        <v>127</v>
      </c>
      <c r="L9" t="str">
        <f t="shared" si="0"/>
        <v>Company Bussiness</v>
      </c>
      <c r="N9" t="str">
        <f t="shared" si="1"/>
        <v>[Display(Name = "Company Bussiness")][Required(AllowEmptyStrings = false, ErrorMessage = "Please enter Company Bussiness")][StringLength(150, ErrorMessage = "The {0} must be at least {2} characters long.", MinimumLength = 3)]</v>
      </c>
    </row>
    <row r="10" spans="4:14">
      <c r="E10" t="s">
        <v>83</v>
      </c>
      <c r="F10" t="s">
        <v>87</v>
      </c>
      <c r="G10" t="s">
        <v>128</v>
      </c>
      <c r="H10" t="s">
        <v>129</v>
      </c>
      <c r="L10" t="str">
        <f t="shared" si="0"/>
        <v>Funding Needed</v>
      </c>
      <c r="N10" t="str">
        <f t="shared" si="1"/>
        <v>[Display(Name = "Funding Needed")][Required(AllowEmptyStrings = false, ErrorMessage = "Please enter Funding Needed")][StringLength(150, ErrorMessage = "The {0} must be at least {2} characters long.", MinimumLength = 3)]</v>
      </c>
    </row>
    <row r="11" spans="4:14">
      <c r="E11" t="s">
        <v>83</v>
      </c>
      <c r="F11" t="s">
        <v>85</v>
      </c>
      <c r="G11" t="s">
        <v>128</v>
      </c>
      <c r="H11" t="s">
        <v>130</v>
      </c>
      <c r="L11" t="str">
        <f t="shared" si="0"/>
        <v>Funding For</v>
      </c>
      <c r="N11" t="str">
        <f t="shared" si="1"/>
        <v>[Display(Name = "Funding For")][Required(AllowEmptyStrings = false, ErrorMessage = "Please enter Funding For")][StringLength(150, ErrorMessage = "The {0} must be at least {2} characters long.", MinimumLength = 3)]</v>
      </c>
    </row>
    <row r="12" spans="4:14">
      <c r="E12" t="s">
        <v>83</v>
      </c>
      <c r="F12" t="s">
        <v>85</v>
      </c>
      <c r="G12" t="s">
        <v>128</v>
      </c>
      <c r="H12" t="s">
        <v>131</v>
      </c>
      <c r="I12" t="s">
        <v>132</v>
      </c>
      <c r="L12" t="str">
        <f t="shared" si="0"/>
        <v>Funding Req Till</v>
      </c>
      <c r="N12" t="str">
        <f t="shared" si="1"/>
        <v>[Display(Name = "Funding Req Till")][Required(AllowEmptyStrings = false, ErrorMessage = "Please enter Funding Req Till")][StringLength(150, ErrorMessage = "The {0} must be at least {2} characters long.", MinimumLength = 3)]</v>
      </c>
    </row>
    <row r="13" spans="4:14">
      <c r="E13" t="s">
        <v>83</v>
      </c>
      <c r="F13" t="s">
        <v>87</v>
      </c>
      <c r="G13" t="s">
        <v>126</v>
      </c>
      <c r="H13" t="s">
        <v>133</v>
      </c>
      <c r="L13" t="str">
        <f t="shared" si="0"/>
        <v>Company Revenue</v>
      </c>
      <c r="N13" t="str">
        <f t="shared" si="1"/>
        <v>[Display(Name = "Company Revenue")][Required(AllowEmptyStrings = false, ErrorMessage = "Please enter Company Revenue")][StringLength(150, ErrorMessage = "The {0} must be at least {2} characters long.", MinimumLength = 3)]</v>
      </c>
    </row>
    <row r="14" spans="4:14">
      <c r="E14" t="s">
        <v>83</v>
      </c>
      <c r="F14" t="s">
        <v>86</v>
      </c>
      <c r="G14" t="s">
        <v>134</v>
      </c>
      <c r="H14" t="s">
        <v>135</v>
      </c>
      <c r="I14" t="s">
        <v>136</v>
      </c>
      <c r="L14" t="str">
        <f t="shared" si="0"/>
        <v>Are You Profitable</v>
      </c>
      <c r="N14" t="str">
        <f t="shared" si="1"/>
        <v>[Display(Name = "Are You Profitable")][Required(AllowEmptyStrings = false, ErrorMessage = "Please enter Are You Profitable")][StringLength(150, ErrorMessage = "The {0} must be at least {2} characters long.", MinimumLength = 3)]</v>
      </c>
    </row>
    <row r="15" spans="4:14">
      <c r="E15" t="s">
        <v>83</v>
      </c>
      <c r="F15" t="s">
        <v>89</v>
      </c>
      <c r="G15" t="s">
        <v>137</v>
      </c>
      <c r="H15" t="s">
        <v>138</v>
      </c>
      <c r="I15" t="s">
        <v>139</v>
      </c>
      <c r="L15" t="str">
        <f t="shared" si="0"/>
        <v>Expected Break Even</v>
      </c>
      <c r="N15" t="str">
        <f t="shared" si="1"/>
        <v>[Display(Name = "Expected Break Even")][Required(AllowEmptyStrings = false, ErrorMessage = "Please enter Expected Break Even")][StringLength(150, ErrorMessage = "The {0} must be at least {2} characters long.", MinimumLength = 3)]</v>
      </c>
    </row>
    <row r="16" spans="4:14">
      <c r="E16" t="s">
        <v>83</v>
      </c>
      <c r="F16" t="s">
        <v>85</v>
      </c>
      <c r="G16" t="s">
        <v>140</v>
      </c>
      <c r="H16" t="s">
        <v>141</v>
      </c>
      <c r="L16" t="str">
        <f t="shared" si="0"/>
        <v>Funded How</v>
      </c>
      <c r="N16" t="str">
        <f t="shared" si="1"/>
        <v>[Display(Name = "Funded How")][Required(AllowEmptyStrings = false, ErrorMessage = "Please enter Funded How")][StringLength(150, ErrorMessage = "The {0} must be at least {2} characters long.", MinimumLength = 3)]</v>
      </c>
    </row>
    <row r="17" spans="5:14">
      <c r="E17" t="s">
        <v>83</v>
      </c>
      <c r="F17" t="s">
        <v>88</v>
      </c>
      <c r="G17" t="s">
        <v>142</v>
      </c>
      <c r="H17" t="s">
        <v>143</v>
      </c>
      <c r="I17" t="s">
        <v>144</v>
      </c>
      <c r="L17" t="str">
        <f t="shared" si="0"/>
        <v>No OfFunding Round</v>
      </c>
      <c r="N17" t="str">
        <f t="shared" si="1"/>
        <v>[Display(Name = "No OfFunding Round")][Required(AllowEmptyStrings = false, ErrorMessage = "Please enter No OfFunding Round")][StringLength(150, ErrorMessage = "The {0} must be at least {2} characters long.", MinimumLength = 3)]</v>
      </c>
    </row>
    <row r="18" spans="5:14">
      <c r="E18" t="s">
        <v>83</v>
      </c>
      <c r="F18" t="s">
        <v>85</v>
      </c>
      <c r="G18" t="s">
        <v>145</v>
      </c>
      <c r="H18" t="s">
        <v>146</v>
      </c>
      <c r="L18" t="str">
        <f t="shared" si="0"/>
        <v>External Investors</v>
      </c>
      <c r="N18" t="str">
        <f t="shared" si="1"/>
        <v>[Display(Name = "External Investors")][Required(AllowEmptyStrings = false, ErrorMessage = "Please enter External Investors")][StringLength(150, ErrorMessage = "The {0} must be at least {2} characters long.", MinimumLength = 3)]</v>
      </c>
    </row>
    <row r="19" spans="5:14">
      <c r="E19" t="s">
        <v>83</v>
      </c>
      <c r="F19" t="s">
        <v>89</v>
      </c>
      <c r="G19" t="s">
        <v>147</v>
      </c>
      <c r="H19" t="s">
        <v>128</v>
      </c>
      <c r="I19" t="s">
        <v>148</v>
      </c>
      <c r="L19" t="str">
        <f t="shared" si="0"/>
        <v>Last Funding Date</v>
      </c>
      <c r="N19" t="str">
        <f t="shared" si="1"/>
        <v>[Display(Name = "Last Funding Date")][Required(AllowEmptyStrings = false, ErrorMessage = "Please enter Last Funding Date")][StringLength(150, ErrorMessage = "The {0} must be at least {2} characters long.", MinimumLength = 3)]</v>
      </c>
    </row>
    <row r="20" spans="5:14">
      <c r="E20" t="s">
        <v>83</v>
      </c>
      <c r="F20" t="s">
        <v>87</v>
      </c>
      <c r="G20" t="s">
        <v>147</v>
      </c>
      <c r="H20" t="s">
        <v>128</v>
      </c>
      <c r="I20" t="s">
        <v>149</v>
      </c>
      <c r="L20" t="str">
        <f t="shared" si="0"/>
        <v>Last Funding Amount</v>
      </c>
      <c r="N20" t="str">
        <f t="shared" si="1"/>
        <v>[Display(Name = "Last Funding Amount")][Required(AllowEmptyStrings = false, ErrorMessage = "Please enter Last Funding Amount")][StringLength(150, ErrorMessage = "The {0} must be at least {2} characters long.", MinimumLength = 3)]</v>
      </c>
    </row>
    <row r="21" spans="5:14">
      <c r="E21" t="s">
        <v>83</v>
      </c>
      <c r="F21" t="s">
        <v>85</v>
      </c>
      <c r="G21" t="s">
        <v>150</v>
      </c>
      <c r="H21" t="s">
        <v>151</v>
      </c>
      <c r="L21" t="str">
        <f t="shared" si="0"/>
        <v>company Loan</v>
      </c>
      <c r="N21" t="str">
        <f t="shared" si="1"/>
        <v>[Display(Name = "company Loan")][Required(AllowEmptyStrings = false, ErrorMessage = "Please enter company Loan")][StringLength(150, ErrorMessage = "The {0} must be at least {2} characters long.", MinimumLength = 3)]</v>
      </c>
    </row>
    <row r="22" spans="5:14">
      <c r="E22" t="s">
        <v>83</v>
      </c>
      <c r="F22" t="s">
        <v>85</v>
      </c>
      <c r="G22" t="s">
        <v>151</v>
      </c>
      <c r="H22" t="s">
        <v>152</v>
      </c>
      <c r="L22" t="str">
        <f t="shared" si="0"/>
        <v>Loan Lenders</v>
      </c>
      <c r="N22" t="str">
        <f t="shared" si="1"/>
        <v>[Display(Name = "Loan Lenders")][Required(AllowEmptyStrings = false, ErrorMessage = "Please enter Loan Lenders")][StringLength(150, ErrorMessage = "The {0} must be at least {2} characters long.", MinimumLength = 3)]</v>
      </c>
    </row>
    <row r="23" spans="5:14">
      <c r="E23" t="s">
        <v>83</v>
      </c>
      <c r="F23" t="s">
        <v>87</v>
      </c>
      <c r="G23" t="s">
        <v>153</v>
      </c>
      <c r="H23" t="s">
        <v>151</v>
      </c>
      <c r="I23" t="s">
        <v>149</v>
      </c>
      <c r="L23" t="str">
        <f t="shared" si="0"/>
        <v>Outstanding Loan Amount</v>
      </c>
      <c r="N23" t="str">
        <f t="shared" si="1"/>
        <v>[Display(Name = "Outstanding Loan Amount")][Required(AllowEmptyStrings = false, ErrorMessage = "Please enter Outstanding Loan Amount")][StringLength(150, ErrorMessage = "The {0} must be at least {2} characters long.", MinimumLength = 3)]</v>
      </c>
    </row>
    <row r="24" spans="5:14">
      <c r="E24" t="s">
        <v>83</v>
      </c>
      <c r="F24" t="s">
        <v>85</v>
      </c>
      <c r="G24" t="s">
        <v>151</v>
      </c>
      <c r="H24" t="s">
        <v>154</v>
      </c>
      <c r="L24" t="str">
        <f t="shared" si="0"/>
        <v>Loan Security</v>
      </c>
      <c r="N24" t="str">
        <f t="shared" si="1"/>
        <v>[Display(Name = "Loan Security")][Required(AllowEmptyStrings = false, ErrorMessage = "Please enter Loan Security")][StringLength(150, ErrorMessage = "The {0} must be at least {2} characters long.", MinimumLength = 3)]</v>
      </c>
    </row>
    <row r="25" spans="5:14">
      <c r="E25" t="s">
        <v>83</v>
      </c>
      <c r="F25" t="s">
        <v>86</v>
      </c>
      <c r="G25" t="s">
        <v>155</v>
      </c>
      <c r="H25" t="s">
        <v>151</v>
      </c>
      <c r="I25" t="s">
        <v>156</v>
      </c>
      <c r="L25" t="str">
        <f t="shared" si="0"/>
        <v>was Loan Delayed</v>
      </c>
      <c r="N25" t="str">
        <f t="shared" si="1"/>
        <v>[Display(Name = "was Loan Delayed")][Required(AllowEmptyStrings = false, ErrorMessage = "Please enter was Loan Delayed")][StringLength(150, ErrorMessage = "The {0} must be at least {2} characters long.", MinimumLength = 3)]</v>
      </c>
    </row>
    <row r="26" spans="5:14">
      <c r="E26" t="s">
        <v>83</v>
      </c>
      <c r="F26" t="s">
        <v>86</v>
      </c>
      <c r="G26" t="s">
        <v>157</v>
      </c>
      <c r="H26" t="s">
        <v>158</v>
      </c>
      <c r="I26" t="s">
        <v>159</v>
      </c>
      <c r="L26" t="str">
        <f t="shared" si="0"/>
        <v>Overdue Statutory Comments</v>
      </c>
      <c r="N26" t="str">
        <f t="shared" si="1"/>
        <v>[Display(Name = "Overdue Statutory Comments")][Required(AllowEmptyStrings = false, ErrorMessage = "Please enter Overdue Statutory Comments")][StringLength(150, ErrorMessage = "The {0} must be at least {2} characters long.", MinimumLength = 3)]</v>
      </c>
    </row>
    <row r="27" spans="5:14">
      <c r="E27" t="s">
        <v>83</v>
      </c>
      <c r="F27" t="s">
        <v>85</v>
      </c>
      <c r="G27" t="s">
        <v>160</v>
      </c>
      <c r="H27" t="s">
        <v>154</v>
      </c>
      <c r="L27" t="str">
        <f t="shared" si="0"/>
        <v>Available Security</v>
      </c>
      <c r="N27" t="str">
        <f t="shared" si="1"/>
        <v>[Display(Name = "Available Security")][Required(AllowEmptyStrings = false, ErrorMessage = "Please enter Available Security")][StringLength(150, ErrorMessage = "The {0} must be at least {2} characters long.", MinimumLength = 3)]</v>
      </c>
    </row>
    <row r="28" spans="5:14">
      <c r="E28" t="s">
        <v>83</v>
      </c>
      <c r="F28" t="s">
        <v>85</v>
      </c>
      <c r="G28" t="s">
        <v>161</v>
      </c>
      <c r="H28" t="s">
        <v>162</v>
      </c>
      <c r="I28" t="s">
        <v>163</v>
      </c>
      <c r="L28" t="str">
        <f t="shared" si="0"/>
        <v>Other Meeting Note</v>
      </c>
      <c r="N28" t="str">
        <f t="shared" si="1"/>
        <v>[Display(Name = "Other Meeting Note")][Required(AllowEmptyStrings = false, ErrorMessage = "Please enter Other Meeting Note")][StringLength(150, ErrorMessage = "The {0} must be at least {2} characters long.", MinimumLength = 3)]</v>
      </c>
    </row>
    <row r="29" spans="5:14">
      <c r="E29" t="s">
        <v>83</v>
      </c>
      <c r="F29" t="s">
        <v>88</v>
      </c>
      <c r="G29" t="s">
        <v>44</v>
      </c>
      <c r="H29" t="s">
        <v>90</v>
      </c>
      <c r="L29" t="str">
        <f t="shared" si="0"/>
        <v>Borrower Id</v>
      </c>
      <c r="N29" t="str">
        <f t="shared" si="1"/>
        <v>[Display(Name = "Borrower Id")][Required(AllowEmptyStrings = false, ErrorMessage = "Please enter Borrower Id")][StringLength(150, ErrorMessage = "The {0} must be at least {2} characters long.", MinimumLength = 3)]</v>
      </c>
    </row>
    <row r="30" spans="5:14">
      <c r="E30" t="s">
        <v>83</v>
      </c>
      <c r="F30" t="s">
        <v>88</v>
      </c>
      <c r="G30" t="s">
        <v>164</v>
      </c>
      <c r="H30" t="s">
        <v>165</v>
      </c>
      <c r="I30" t="s">
        <v>90</v>
      </c>
      <c r="L30" t="str">
        <f t="shared" si="0"/>
        <v>Sales Rep Id</v>
      </c>
      <c r="N30" t="str">
        <f t="shared" si="1"/>
        <v>[Display(Name = "Sales Rep Id")][Required(AllowEmptyStrings = false, ErrorMessage = "Please enter Sales Rep Id")][StringLength(150, ErrorMessage = "The {0} must be at least {2} characters long.", MinimumLength = 3)]</v>
      </c>
    </row>
    <row r="31" spans="5:14">
      <c r="E31" t="s">
        <v>83</v>
      </c>
      <c r="F31" t="s">
        <v>88</v>
      </c>
      <c r="G31" t="s">
        <v>166</v>
      </c>
      <c r="H31" t="s">
        <v>167</v>
      </c>
      <c r="I31" t="s">
        <v>90</v>
      </c>
      <c r="L31" t="str">
        <f t="shared" si="0"/>
        <v>Credit Checker Id</v>
      </c>
      <c r="N31" t="str">
        <f t="shared" si="1"/>
        <v>[Display(Name = "Credit Checker Id")][Required(AllowEmptyStrings = false, ErrorMessage = "Please enter Credit Checker Id")][StringLength(150, ErrorMessage = "The {0} must be at least {2} characters long.", MinimumLength = 3)]</v>
      </c>
    </row>
    <row r="32" spans="5:14">
      <c r="E32" t="s">
        <v>83</v>
      </c>
      <c r="F32" t="s">
        <v>85</v>
      </c>
      <c r="G32" t="s">
        <v>168</v>
      </c>
      <c r="H32" t="s">
        <v>169</v>
      </c>
      <c r="L32" t="str">
        <f t="shared" si="0"/>
        <v>Request Status</v>
      </c>
      <c r="N32" t="str">
        <f t="shared" si="1"/>
        <v>[Display(Name = "Request Status")][Required(AllowEmptyStrings = false, ErrorMessage = "Please enter Request Status")][StringLength(150, ErrorMessage = "The {0} must be at least {2} characters long.", MinimumLength = 3)]</v>
      </c>
    </row>
    <row r="33" spans="5:14">
      <c r="E33" t="s">
        <v>83</v>
      </c>
      <c r="F33" t="s">
        <v>117</v>
      </c>
      <c r="G33" t="s">
        <v>170</v>
      </c>
      <c r="H33" t="s">
        <v>171</v>
      </c>
      <c r="L33" t="str">
        <f t="shared" si="0"/>
        <v>is Active</v>
      </c>
      <c r="N33" t="str">
        <f t="shared" si="1"/>
        <v>[Display(Name = "is Active")][Required(AllowEmptyStrings = false, ErrorMessage = "Please enter is Active")][StringLength(150, ErrorMessage = "The {0} must be at least {2} characters long.", MinimumLength = 3)]</v>
      </c>
    </row>
    <row r="34" spans="5:14">
      <c r="E34" t="s">
        <v>83</v>
      </c>
      <c r="F34" t="s">
        <v>119</v>
      </c>
      <c r="G34" t="s">
        <v>172</v>
      </c>
      <c r="H34" t="s">
        <v>173</v>
      </c>
      <c r="L34" t="str">
        <f t="shared" si="0"/>
        <v>Created Dt</v>
      </c>
      <c r="N34" t="str">
        <f t="shared" si="1"/>
        <v>[Display(Name = "Created Dt")][Required(AllowEmptyStrings = false, ErrorMessage = "Please enter Created Dt")][StringLength(150, ErrorMessage = "The {0} must be at least {2} characters long.", MinimumLength = 3)]</v>
      </c>
    </row>
    <row r="35" spans="5:14">
      <c r="E35" t="s">
        <v>83</v>
      </c>
      <c r="F35" t="s">
        <v>119</v>
      </c>
      <c r="G35" t="s">
        <v>174</v>
      </c>
      <c r="H35" t="s">
        <v>173</v>
      </c>
      <c r="L35" t="str">
        <f t="shared" si="0"/>
        <v>Update Dt</v>
      </c>
      <c r="N35" t="str">
        <f t="shared" si="1"/>
        <v>[Display(Name = "Update Dt")][Required(AllowEmptyStrings = false, ErrorMessage = "Please enter Update Dt")][StringLength(150, ErrorMessage = "The {0} must be at least {2} characters long.", MinimumLength = 3)]</v>
      </c>
    </row>
    <row r="36" spans="5:14">
      <c r="L36" t="str">
        <f t="shared" si="0"/>
        <v/>
      </c>
    </row>
    <row r="37" spans="5:14">
      <c r="L37" t="str">
        <f t="shared" si="0"/>
        <v/>
      </c>
    </row>
    <row r="38" spans="5:14">
      <c r="L38" t="str">
        <f t="shared" si="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D4:I33"/>
  <sheetViews>
    <sheetView tabSelected="1" workbookViewId="0">
      <selection activeCell="J33" sqref="J33"/>
    </sheetView>
  </sheetViews>
  <sheetFormatPr defaultRowHeight="14.4"/>
  <sheetData>
    <row r="4" spans="4:9">
      <c r="D4" t="s">
        <v>90</v>
      </c>
      <c r="F4" t="s">
        <v>175</v>
      </c>
      <c r="G4" t="s">
        <v>90</v>
      </c>
      <c r="I4" t="str">
        <f>CONCATENATE(D4, " = ", F4,".",G4,",")</f>
        <v>Id = LR.Id,</v>
      </c>
    </row>
    <row r="5" spans="4:9">
      <c r="D5" t="s">
        <v>91</v>
      </c>
      <c r="F5" t="s">
        <v>175</v>
      </c>
      <c r="G5" t="s">
        <v>91</v>
      </c>
      <c r="I5" t="str">
        <f t="shared" ref="I5:I33" si="0">CONCATENATE(D5, " = ", F5,".",G5,",")</f>
        <v>FounderName = LR.FounderName,</v>
      </c>
    </row>
    <row r="6" spans="4:9">
      <c r="D6" t="s">
        <v>92</v>
      </c>
      <c r="F6" t="s">
        <v>175</v>
      </c>
      <c r="G6" t="s">
        <v>92</v>
      </c>
      <c r="I6" t="str">
        <f t="shared" si="0"/>
        <v>ComapyAge = LR.ComapyAge,</v>
      </c>
    </row>
    <row r="7" spans="4:9">
      <c r="D7" t="s">
        <v>93</v>
      </c>
      <c r="F7" t="s">
        <v>175</v>
      </c>
      <c r="G7" t="s">
        <v>93</v>
      </c>
      <c r="I7" t="str">
        <f t="shared" si="0"/>
        <v>CompanyBussiness = LR.CompanyBussiness,</v>
      </c>
    </row>
    <row r="8" spans="4:9">
      <c r="D8" t="s">
        <v>94</v>
      </c>
      <c r="F8" t="s">
        <v>175</v>
      </c>
      <c r="G8" t="s">
        <v>94</v>
      </c>
      <c r="I8" t="str">
        <f t="shared" si="0"/>
        <v>FundingNeeded = LR.FundingNeeded,</v>
      </c>
    </row>
    <row r="9" spans="4:9">
      <c r="D9" t="s">
        <v>95</v>
      </c>
      <c r="F9" t="s">
        <v>175</v>
      </c>
      <c r="G9" t="s">
        <v>95</v>
      </c>
      <c r="I9" t="str">
        <f t="shared" si="0"/>
        <v>FundingFor = LR.FundingFor,</v>
      </c>
    </row>
    <row r="10" spans="4:9">
      <c r="D10" t="s">
        <v>96</v>
      </c>
      <c r="F10" t="s">
        <v>175</v>
      </c>
      <c r="G10" t="s">
        <v>96</v>
      </c>
      <c r="I10" t="str">
        <f t="shared" si="0"/>
        <v>FundingReqTill = LR.FundingReqTill,</v>
      </c>
    </row>
    <row r="11" spans="4:9">
      <c r="D11" t="s">
        <v>97</v>
      </c>
      <c r="F11" t="s">
        <v>175</v>
      </c>
      <c r="G11" t="s">
        <v>97</v>
      </c>
      <c r="I11" t="str">
        <f t="shared" si="0"/>
        <v>CompanyRevenue = LR.CompanyRevenue,</v>
      </c>
    </row>
    <row r="12" spans="4:9">
      <c r="D12" t="s">
        <v>98</v>
      </c>
      <c r="F12" t="s">
        <v>175</v>
      </c>
      <c r="G12" t="s">
        <v>98</v>
      </c>
      <c r="I12" t="str">
        <f t="shared" si="0"/>
        <v>AreYouProfitable = LR.AreYouProfitable,</v>
      </c>
    </row>
    <row r="13" spans="4:9">
      <c r="D13" t="s">
        <v>99</v>
      </c>
      <c r="F13" t="s">
        <v>175</v>
      </c>
      <c r="G13" t="s">
        <v>99</v>
      </c>
      <c r="I13" t="str">
        <f t="shared" si="0"/>
        <v>ExpectedBreakEven = LR.ExpectedBreakEven,</v>
      </c>
    </row>
    <row r="14" spans="4:9">
      <c r="D14" t="s">
        <v>100</v>
      </c>
      <c r="F14" t="s">
        <v>175</v>
      </c>
      <c r="G14" t="s">
        <v>100</v>
      </c>
      <c r="I14" t="str">
        <f t="shared" si="0"/>
        <v>FundedHow = LR.FundedHow,</v>
      </c>
    </row>
    <row r="15" spans="4:9">
      <c r="D15" t="s">
        <v>101</v>
      </c>
      <c r="F15" t="s">
        <v>175</v>
      </c>
      <c r="G15" t="s">
        <v>101</v>
      </c>
      <c r="I15" t="str">
        <f t="shared" si="0"/>
        <v>NoOfFundingRound = LR.NoOfFundingRound,</v>
      </c>
    </row>
    <row r="16" spans="4:9">
      <c r="D16" t="s">
        <v>102</v>
      </c>
      <c r="F16" t="s">
        <v>175</v>
      </c>
      <c r="G16" t="s">
        <v>102</v>
      </c>
      <c r="I16" t="str">
        <f t="shared" si="0"/>
        <v>ExternalInvestors = LR.ExternalInvestors,</v>
      </c>
    </row>
    <row r="17" spans="4:9">
      <c r="D17" t="s">
        <v>103</v>
      </c>
      <c r="F17" t="s">
        <v>175</v>
      </c>
      <c r="G17" t="s">
        <v>103</v>
      </c>
      <c r="I17" t="str">
        <f t="shared" si="0"/>
        <v>LastFundingDate = LR.LastFundingDate,</v>
      </c>
    </row>
    <row r="18" spans="4:9">
      <c r="D18" t="s">
        <v>104</v>
      </c>
      <c r="F18" t="s">
        <v>175</v>
      </c>
      <c r="G18" t="s">
        <v>104</v>
      </c>
      <c r="I18" t="str">
        <f t="shared" si="0"/>
        <v>LastFundingAmount = LR.LastFundingAmount,</v>
      </c>
    </row>
    <row r="19" spans="4:9">
      <c r="D19" t="s">
        <v>105</v>
      </c>
      <c r="F19" t="s">
        <v>175</v>
      </c>
      <c r="G19" t="s">
        <v>105</v>
      </c>
      <c r="I19" t="str">
        <f t="shared" si="0"/>
        <v>companyLoan = LR.companyLoan,</v>
      </c>
    </row>
    <row r="20" spans="4:9">
      <c r="D20" t="s">
        <v>106</v>
      </c>
      <c r="F20" t="s">
        <v>175</v>
      </c>
      <c r="G20" t="s">
        <v>106</v>
      </c>
      <c r="I20" t="str">
        <f t="shared" si="0"/>
        <v>LoanLenders = LR.LoanLenders,</v>
      </c>
    </row>
    <row r="21" spans="4:9">
      <c r="D21" t="s">
        <v>107</v>
      </c>
      <c r="F21" t="s">
        <v>175</v>
      </c>
      <c r="G21" t="s">
        <v>107</v>
      </c>
      <c r="I21" t="str">
        <f t="shared" si="0"/>
        <v>OutstandingLoanAmount = LR.OutstandingLoanAmount,</v>
      </c>
    </row>
    <row r="22" spans="4:9">
      <c r="D22" t="s">
        <v>108</v>
      </c>
      <c r="F22" t="s">
        <v>175</v>
      </c>
      <c r="G22" t="s">
        <v>108</v>
      </c>
      <c r="I22" t="str">
        <f t="shared" si="0"/>
        <v>LoanSecurity = LR.LoanSecurity,</v>
      </c>
    </row>
    <row r="23" spans="4:9">
      <c r="D23" t="s">
        <v>109</v>
      </c>
      <c r="F23" t="s">
        <v>175</v>
      </c>
      <c r="G23" t="s">
        <v>109</v>
      </c>
      <c r="I23" t="str">
        <f t="shared" si="0"/>
        <v>wasLoanDelayed = LR.wasLoanDelayed,</v>
      </c>
    </row>
    <row r="24" spans="4:9">
      <c r="D24" t="s">
        <v>110</v>
      </c>
      <c r="F24" t="s">
        <v>175</v>
      </c>
      <c r="G24" t="s">
        <v>110</v>
      </c>
      <c r="I24" t="str">
        <f t="shared" si="0"/>
        <v>OverdueStatutoryComments = LR.OverdueStatutoryComments,</v>
      </c>
    </row>
    <row r="25" spans="4:9">
      <c r="D25" t="s">
        <v>111</v>
      </c>
      <c r="F25" t="s">
        <v>175</v>
      </c>
      <c r="G25" t="s">
        <v>111</v>
      </c>
      <c r="I25" t="str">
        <f t="shared" si="0"/>
        <v>AvailableSecurity = LR.AvailableSecurity,</v>
      </c>
    </row>
    <row r="26" spans="4:9">
      <c r="D26" t="s">
        <v>112</v>
      </c>
      <c r="F26" t="s">
        <v>175</v>
      </c>
      <c r="G26" t="s">
        <v>112</v>
      </c>
      <c r="I26" t="str">
        <f t="shared" si="0"/>
        <v>OtherMeetingNote = LR.OtherMeetingNote,</v>
      </c>
    </row>
    <row r="27" spans="4:9">
      <c r="D27" t="s">
        <v>113</v>
      </c>
      <c r="F27" t="s">
        <v>175</v>
      </c>
      <c r="G27" t="s">
        <v>113</v>
      </c>
      <c r="I27" t="str">
        <f t="shared" si="0"/>
        <v>BorrowerId = LR.BorrowerId,</v>
      </c>
    </row>
    <row r="28" spans="4:9">
      <c r="D28" t="s">
        <v>114</v>
      </c>
      <c r="F28" t="s">
        <v>175</v>
      </c>
      <c r="G28" t="s">
        <v>114</v>
      </c>
      <c r="I28" t="str">
        <f t="shared" si="0"/>
        <v>SalesRepId = LR.SalesRepId,</v>
      </c>
    </row>
    <row r="29" spans="4:9">
      <c r="D29" t="s">
        <v>115</v>
      </c>
      <c r="F29" t="s">
        <v>175</v>
      </c>
      <c r="G29" t="s">
        <v>115</v>
      </c>
      <c r="I29" t="str">
        <f t="shared" si="0"/>
        <v>CreditCheckerId = LR.CreditCheckerId,</v>
      </c>
    </row>
    <row r="30" spans="4:9">
      <c r="D30" t="s">
        <v>116</v>
      </c>
      <c r="F30" t="s">
        <v>175</v>
      </c>
      <c r="G30" t="s">
        <v>116</v>
      </c>
      <c r="I30" t="str">
        <f t="shared" si="0"/>
        <v>RequestStatus = LR.RequestStatus,</v>
      </c>
    </row>
    <row r="31" spans="4:9">
      <c r="D31" t="s">
        <v>118</v>
      </c>
      <c r="F31" t="s">
        <v>175</v>
      </c>
      <c r="G31" t="s">
        <v>118</v>
      </c>
      <c r="I31" t="str">
        <f t="shared" si="0"/>
        <v>isActive = LR.isActive,</v>
      </c>
    </row>
    <row r="32" spans="4:9">
      <c r="D32" t="s">
        <v>120</v>
      </c>
      <c r="F32" t="s">
        <v>175</v>
      </c>
      <c r="G32" t="s">
        <v>120</v>
      </c>
      <c r="I32" t="str">
        <f t="shared" si="0"/>
        <v>CreatedDt = LR.CreatedDt,</v>
      </c>
    </row>
    <row r="33" spans="4:9">
      <c r="D33" t="s">
        <v>121</v>
      </c>
      <c r="F33" t="s">
        <v>175</v>
      </c>
      <c r="G33" t="s">
        <v>121</v>
      </c>
      <c r="I33" t="str">
        <f t="shared" si="0"/>
        <v>UpdateDt = LR.UpdateDt,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2017-10-01T20:44:42Z</dcterms:modified>
</cp:coreProperties>
</file>